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ENTRU GELU\DEMO\Manager_clienti(V2)\templates\"/>
    </mc:Choice>
  </mc:AlternateContent>
  <xr:revisionPtr revIDLastSave="0" documentId="13_ncr:1_{7719C696-672B-4A23-9EC6-19175F7E15C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ituatie Plata Cd+Br" sheetId="1" r:id="rId1"/>
    <sheet name="Situatie Plata Br" sheetId="2" r:id="rId2"/>
    <sheet name="Centralizator Plata" sheetId="3" r:id="rId3"/>
  </sheets>
  <definedNames>
    <definedName name="_xlnm.Print_Area" localSheetId="2">'Centralizator Plata'!$A$1:$H$19</definedName>
    <definedName name="_xlnm.Print_Area" localSheetId="1">'Situatie Plata Br'!$A$1:$D$37</definedName>
    <definedName name="_xlnm.Print_Area" localSheetId="0">'Situatie Plata Cd+Br'!$A$1:$D$46</definedName>
  </definedNames>
  <calcPr calcId="191029" iterateCount="20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E25" i="2" s="1"/>
  <c r="D25" i="2" l="1"/>
  <c r="D24" i="2"/>
</calcChain>
</file>

<file path=xl/sharedStrings.xml><?xml version="1.0" encoding="utf-8"?>
<sst xmlns="http://schemas.openxmlformats.org/spreadsheetml/2006/main" count="82" uniqueCount="58">
  <si>
    <t xml:space="preserve">                                                   </t>
  </si>
  <si>
    <t>Nr. crt.</t>
  </si>
  <si>
    <t>Proiectare extindere conducta</t>
  </si>
  <si>
    <t>Verificare documentatie tehnica extindere conducta</t>
  </si>
  <si>
    <t xml:space="preserve">Executie extindere conducta </t>
  </si>
  <si>
    <t>Denumire Activitate</t>
  </si>
  <si>
    <t>Cantitate</t>
  </si>
  <si>
    <t>Pret fara TVA</t>
  </si>
  <si>
    <t>Client…….…………………………………………………</t>
  </si>
  <si>
    <t>Executant……….………...…………..……………</t>
  </si>
  <si>
    <t>Proiectare racord/statie/post reglare</t>
  </si>
  <si>
    <t>Verificare documentatie tehnica racord/statie/post reglare</t>
  </si>
  <si>
    <t>Executie racord/statie/post reglare</t>
  </si>
  <si>
    <t>TVA</t>
  </si>
  <si>
    <t>Total General</t>
  </si>
  <si>
    <t xml:space="preserve">Total </t>
  </si>
  <si>
    <t>OE ,</t>
  </si>
  <si>
    <t xml:space="preserve">Nume si prenume      </t>
  </si>
  <si>
    <t xml:space="preserve">Semnatura  </t>
  </si>
  <si>
    <t>Comanda aprovizionare CD…………………Comanda aprovizionare BR……………………</t>
  </si>
  <si>
    <t>Adresa obiectiv: Localitate………………Strada………….……....Nr………Judet (sector)……</t>
  </si>
  <si>
    <t>Prin diriginte santier</t>
  </si>
  <si>
    <t>DGSR,</t>
  </si>
  <si>
    <t xml:space="preserve">                    Situatie de plata lucrare de …………………………</t>
  </si>
  <si>
    <t>Element SDA conducta :  ..-..-../…./…/…………Element SDA bransament ..-..-../…./…/….</t>
  </si>
  <si>
    <t>Cod ATR……………………………………………</t>
  </si>
  <si>
    <t>Prin reprezentant legal</t>
  </si>
  <si>
    <r>
      <t xml:space="preserve">Dirigintele de santier valideaza strict </t>
    </r>
    <r>
      <rPr>
        <b/>
        <sz val="11"/>
        <color theme="1"/>
        <rFont val="Calibri"/>
        <family val="2"/>
        <scheme val="minor"/>
      </rPr>
      <t>activitatile</t>
    </r>
    <r>
      <rPr>
        <sz val="11"/>
        <color theme="1"/>
        <rFont val="Calibri"/>
        <family val="2"/>
        <scheme val="minor"/>
      </rPr>
      <t xml:space="preserve"> prevazute in prezenta situatie de plata</t>
    </r>
  </si>
  <si>
    <t>Nota : Valorile corespund notificarii transmise OSD si contractului de prestari servicii nr. .../data……</t>
  </si>
  <si>
    <t>CENTRALIZATOR PLATA</t>
  </si>
  <si>
    <t>Nr. crt</t>
  </si>
  <si>
    <t>Lucrare SDA</t>
  </si>
  <si>
    <t>Nume si prenume solicitant        Adresa</t>
  </si>
  <si>
    <t>Nr.  PVRTL</t>
  </si>
  <si>
    <t>Data</t>
  </si>
  <si>
    <t>Valoarea  (lei fara TVA)</t>
  </si>
  <si>
    <t>C.A.</t>
  </si>
  <si>
    <t>Receptie</t>
  </si>
  <si>
    <t>LUCRARI DE PROIECTARE SI EXECUTIE</t>
  </si>
  <si>
    <t xml:space="preserve">                    Situatie de plata lucrare de bransament gaze naturale si prm</t>
  </si>
  <si>
    <t>S.C. ECOLOPTIM S.R.L.</t>
  </si>
  <si>
    <t>BRANSAMENTE GN SI PRM</t>
  </si>
  <si>
    <t>Localitate SENDRENI Strada GRADINARILOR nr 2</t>
  </si>
  <si>
    <t>90-32-24/0802/B01/SC</t>
  </si>
  <si>
    <t xml:space="preserve">BURUIANA GELU   </t>
  </si>
  <si>
    <t xml:space="preserve">Nota : </t>
  </si>
  <si>
    <t>Judet (sector): GALATI</t>
  </si>
  <si>
    <t>Executant: ECOLOPTIM S.R.L.</t>
  </si>
  <si>
    <t>Prin reprezentant legal:</t>
  </si>
  <si>
    <t>Prin diriginte santier:</t>
  </si>
  <si>
    <t xml:space="preserve">Semnatura,  </t>
  </si>
  <si>
    <t xml:space="preserve">POPA CORNELIU GABRIEL      </t>
  </si>
  <si>
    <t xml:space="preserve">Adresa obiectiv:Localitatea GALATI, Strada FOTEA IANCU, MAIOR, Nr. 6, </t>
  </si>
  <si>
    <t>Cod ATR: 13848096/04.11.2025</t>
  </si>
  <si>
    <t>Element SDA bransament: 90-32-25/1034/B01/SC</t>
  </si>
  <si>
    <t>Comanda aprovizionare:  4500702903</t>
  </si>
  <si>
    <t>Valorile corespund notificarii transmise OSD si contractului de prestari servicii nr.13848097/04.11.2025</t>
  </si>
  <si>
    <t>Client: PRIMARIA GALATI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</si>
</sst>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u/>
      <sz val="11"/>
      <color theme="1"/>
      <name val="Calibri"/>
      <family val="2"/>
      <charset val="238"/>
      <scheme val="minor"/>
    </font>
    <font>
      <sz val="1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5" fillId="0" borderId="2" xfId="0" applyFont="1" applyBorder="1"/>
    <xf numFmtId="0" fontId="8" fillId="0" borderId="2" xfId="0" applyFont="1" applyBorder="1" applyAlignment="1">
      <alignment horizontal="center" wrapText="1"/>
    </xf>
    <xf numFmtId="0" fontId="8" fillId="0" borderId="4" xfId="0" applyFont="1" applyBorder="1"/>
    <xf numFmtId="0" fontId="8" fillId="0" borderId="2" xfId="0" applyFont="1" applyBorder="1"/>
    <xf numFmtId="0" fontId="5" fillId="0" borderId="5" xfId="0" applyFont="1" applyBorder="1"/>
    <xf numFmtId="0" fontId="7" fillId="0" borderId="0" xfId="0" applyFont="1"/>
    <xf numFmtId="0" fontId="0" fillId="0" borderId="1" xfId="0" applyBorder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14" fontId="13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45892</xdr:rowOff>
    </xdr:from>
    <xdr:to>
      <xdr:col>1</xdr:col>
      <xdr:colOff>1439141</xdr:colOff>
      <xdr:row>2</xdr:row>
      <xdr:rowOff>103042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5892"/>
          <a:ext cx="1924050" cy="4381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45892</xdr:rowOff>
    </xdr:from>
    <xdr:to>
      <xdr:col>1</xdr:col>
      <xdr:colOff>1439141</xdr:colOff>
      <xdr:row>2</xdr:row>
      <xdr:rowOff>103042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5892"/>
          <a:ext cx="1924916" cy="4381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19053</xdr:colOff>
      <xdr:row>0</xdr:row>
      <xdr:rowOff>19050</xdr:rowOff>
    </xdr:from>
    <xdr:to>
      <xdr:col>7</xdr:col>
      <xdr:colOff>773206</xdr:colOff>
      <xdr:row>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3" y="19050"/>
          <a:ext cx="6009712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M61"/>
  <sheetViews>
    <sheetView topLeftCell="A6" zoomScaleNormal="100" workbookViewId="0">
      <selection activeCell="F31" sqref="F31"/>
    </sheetView>
  </sheetViews>
  <sheetFormatPr defaultRowHeight="15" x14ac:dyDescent="0.25"/>
  <cols>
    <col min="1" max="1" width="7.42578125" customWidth="1"/>
    <col min="2" max="2" width="52.5703125" customWidth="1"/>
    <col min="3" max="3" width="13.5703125" customWidth="1"/>
    <col min="4" max="4" width="13.42578125" customWidth="1"/>
    <col min="5" max="5" width="12.85546875" customWidth="1"/>
    <col min="6" max="6" width="12.140625" customWidth="1"/>
  </cols>
  <sheetData>
    <row r="6" spans="1:13" ht="15.75" x14ac:dyDescent="0.25">
      <c r="B6" s="2" t="s">
        <v>23</v>
      </c>
    </row>
    <row r="7" spans="1:13" ht="15.75" x14ac:dyDescent="0.25">
      <c r="B7" s="2"/>
    </row>
    <row r="8" spans="1:13" x14ac:dyDescent="0.25">
      <c r="A8" s="3"/>
    </row>
    <row r="9" spans="1:13" x14ac:dyDescent="0.25">
      <c r="A9" s="34" t="s">
        <v>8</v>
      </c>
      <c r="B9" s="34"/>
      <c r="C9" s="34"/>
      <c r="D9" s="34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34" t="s">
        <v>20</v>
      </c>
      <c r="B10" s="34"/>
      <c r="C10" s="34"/>
      <c r="D10" s="34"/>
      <c r="E10" s="17"/>
      <c r="F10" s="17"/>
      <c r="G10" s="17"/>
      <c r="H10" s="17"/>
      <c r="I10" s="17"/>
      <c r="J10" s="17"/>
      <c r="K10" s="17"/>
      <c r="L10" s="17"/>
      <c r="M10" s="17"/>
    </row>
    <row r="11" spans="1:13" x14ac:dyDescent="0.25">
      <c r="A11" s="17" t="s">
        <v>25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13" t="s">
        <v>9</v>
      </c>
      <c r="B12" s="13"/>
      <c r="C12" s="13"/>
      <c r="D12" s="13"/>
      <c r="E12" s="13"/>
      <c r="F12" s="13"/>
      <c r="G12" s="13"/>
      <c r="H12" s="13"/>
      <c r="I12" s="13"/>
      <c r="J12" s="1"/>
      <c r="K12" s="1"/>
      <c r="L12" s="13"/>
      <c r="M12" s="1"/>
    </row>
    <row r="13" spans="1:13" x14ac:dyDescent="0.25">
      <c r="A13" s="13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3" t="s">
        <v>19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6" spans="1:13" ht="15.75" thickBot="1" x14ac:dyDescent="0.3"/>
    <row r="17" spans="1:5" ht="15.75" thickBot="1" x14ac:dyDescent="0.3">
      <c r="A17" s="8" t="s">
        <v>1</v>
      </c>
      <c r="B17" s="9" t="s">
        <v>5</v>
      </c>
      <c r="C17" s="11" t="s">
        <v>6</v>
      </c>
      <c r="D17" s="10" t="s">
        <v>7</v>
      </c>
    </row>
    <row r="18" spans="1:5" x14ac:dyDescent="0.25">
      <c r="A18" s="6">
        <v>1</v>
      </c>
      <c r="B18" s="7" t="s">
        <v>2</v>
      </c>
      <c r="C18" s="6">
        <v>1</v>
      </c>
      <c r="D18" s="6"/>
    </row>
    <row r="19" spans="1:5" x14ac:dyDescent="0.25">
      <c r="A19" s="4">
        <v>2</v>
      </c>
      <c r="B19" s="5" t="s">
        <v>3</v>
      </c>
      <c r="C19" s="4">
        <v>1</v>
      </c>
      <c r="D19" s="4"/>
    </row>
    <row r="20" spans="1:5" x14ac:dyDescent="0.25">
      <c r="A20" s="4">
        <v>3</v>
      </c>
      <c r="B20" s="5" t="s">
        <v>4</v>
      </c>
      <c r="C20" s="4">
        <v>1</v>
      </c>
      <c r="D20" s="4"/>
    </row>
    <row r="21" spans="1:5" x14ac:dyDescent="0.25">
      <c r="C21" s="14" t="s">
        <v>15</v>
      </c>
      <c r="D21" s="14"/>
    </row>
    <row r="22" spans="1:5" x14ac:dyDescent="0.25">
      <c r="C22" s="14" t="s">
        <v>13</v>
      </c>
      <c r="D22" s="14"/>
    </row>
    <row r="23" spans="1:5" x14ac:dyDescent="0.25">
      <c r="C23" s="14" t="s">
        <v>14</v>
      </c>
      <c r="D23" s="14"/>
    </row>
    <row r="24" spans="1:5" ht="15.75" thickBot="1" x14ac:dyDescent="0.3">
      <c r="E24" t="s">
        <v>0</v>
      </c>
    </row>
    <row r="25" spans="1:5" ht="15.75" thickBot="1" x14ac:dyDescent="0.3">
      <c r="A25" s="12" t="s">
        <v>1</v>
      </c>
      <c r="B25" s="9" t="s">
        <v>5</v>
      </c>
      <c r="C25" s="11" t="s">
        <v>6</v>
      </c>
      <c r="D25" s="11" t="s">
        <v>7</v>
      </c>
    </row>
    <row r="26" spans="1:5" x14ac:dyDescent="0.25">
      <c r="A26" s="6">
        <v>1</v>
      </c>
      <c r="B26" s="7" t="s">
        <v>10</v>
      </c>
      <c r="C26" s="6">
        <v>1</v>
      </c>
      <c r="D26" s="6"/>
    </row>
    <row r="27" spans="1:5" x14ac:dyDescent="0.25">
      <c r="A27" s="4">
        <v>2</v>
      </c>
      <c r="B27" s="5" t="s">
        <v>11</v>
      </c>
      <c r="C27" s="4">
        <v>1</v>
      </c>
      <c r="D27" s="4"/>
    </row>
    <row r="28" spans="1:5" x14ac:dyDescent="0.25">
      <c r="A28" s="4">
        <v>3</v>
      </c>
      <c r="B28" s="5" t="s">
        <v>12</v>
      </c>
      <c r="C28" s="4">
        <v>1</v>
      </c>
      <c r="D28" s="4"/>
    </row>
    <row r="29" spans="1:5" x14ac:dyDescent="0.25">
      <c r="C29" s="14" t="s">
        <v>15</v>
      </c>
      <c r="D29" s="14"/>
    </row>
    <row r="30" spans="1:5" x14ac:dyDescent="0.25">
      <c r="C30" s="14" t="s">
        <v>13</v>
      </c>
      <c r="D30" s="14"/>
    </row>
    <row r="31" spans="1:5" x14ac:dyDescent="0.25">
      <c r="C31" s="14" t="s">
        <v>14</v>
      </c>
      <c r="D31" s="14"/>
    </row>
    <row r="36" spans="1:3" x14ac:dyDescent="0.25">
      <c r="A36" s="19" t="s">
        <v>28</v>
      </c>
    </row>
    <row r="37" spans="1:3" x14ac:dyDescent="0.25">
      <c r="A37" s="19" t="s">
        <v>27</v>
      </c>
    </row>
    <row r="38" spans="1:3" x14ac:dyDescent="0.25">
      <c r="A38" s="15"/>
    </row>
    <row r="40" spans="1:3" x14ac:dyDescent="0.25">
      <c r="B40" t="s">
        <v>16</v>
      </c>
      <c r="C40" t="s">
        <v>22</v>
      </c>
    </row>
    <row r="41" spans="1:3" x14ac:dyDescent="0.25">
      <c r="B41" s="16" t="s">
        <v>26</v>
      </c>
      <c r="C41" t="s">
        <v>21</v>
      </c>
    </row>
    <row r="42" spans="1:3" x14ac:dyDescent="0.25">
      <c r="B42" s="16" t="s">
        <v>17</v>
      </c>
      <c r="C42" s="16" t="s">
        <v>17</v>
      </c>
    </row>
    <row r="43" spans="1:3" x14ac:dyDescent="0.25">
      <c r="B43" t="s">
        <v>18</v>
      </c>
      <c r="C43" t="s">
        <v>18</v>
      </c>
    </row>
    <row r="57" spans="2:2" x14ac:dyDescent="0.25">
      <c r="B57" s="18"/>
    </row>
    <row r="59" spans="2:2" x14ac:dyDescent="0.25">
      <c r="B59" s="18"/>
    </row>
    <row r="60" spans="2:2" x14ac:dyDescent="0.25">
      <c r="B60" s="18"/>
    </row>
    <row r="61" spans="2:2" x14ac:dyDescent="0.25">
      <c r="B61" s="18"/>
    </row>
  </sheetData>
  <mergeCells count="2">
    <mergeCell ref="A9:D9"/>
    <mergeCell ref="A10:D10"/>
  </mergeCells>
  <pageMargins left="0.51" right="0.24" top="0.93" bottom="1.31" header="0.88" footer="1.26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M53"/>
  <sheetViews>
    <sheetView tabSelected="1" topLeftCell="A7" zoomScale="115" zoomScaleNormal="115" workbookViewId="0">
      <selection activeCell="B26" sqref="B26"/>
    </sheetView>
  </sheetViews>
  <sheetFormatPr defaultRowHeight="15" x14ac:dyDescent="0.25"/>
  <cols>
    <col min="1" max="1" width="7.42578125" customWidth="1"/>
    <col min="2" max="2" width="52.5703125" customWidth="1"/>
    <col min="3" max="3" width="13.5703125" customWidth="1"/>
    <col min="4" max="4" width="13.42578125" customWidth="1"/>
    <col min="5" max="5" width="12.85546875" customWidth="1"/>
    <col min="6" max="6" width="12.140625" customWidth="1"/>
  </cols>
  <sheetData>
    <row r="6" spans="1:13" ht="15" customHeight="1" x14ac:dyDescent="0.25">
      <c r="A6" s="35" t="s">
        <v>39</v>
      </c>
      <c r="B6" s="35"/>
      <c r="C6" s="35"/>
      <c r="D6" s="35"/>
      <c r="E6" s="32"/>
    </row>
    <row r="7" spans="1:13" ht="15.75" x14ac:dyDescent="0.25">
      <c r="B7" s="2"/>
    </row>
    <row r="8" spans="1:13" x14ac:dyDescent="0.25">
      <c r="A8" s="3"/>
    </row>
    <row r="9" spans="1:13" x14ac:dyDescent="0.25">
      <c r="A9" s="17" t="s">
        <v>57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5" customHeight="1" x14ac:dyDescent="0.25">
      <c r="A10" s="17" t="s">
        <v>52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5" customHeight="1" x14ac:dyDescent="0.25">
      <c r="A11" s="17" t="s">
        <v>46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17" t="s">
        <v>53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25">
      <c r="A13" s="13" t="s">
        <v>47</v>
      </c>
      <c r="B13" s="13"/>
      <c r="C13" s="13"/>
      <c r="D13" s="13"/>
      <c r="E13" s="13"/>
      <c r="F13" s="13"/>
      <c r="G13" s="13"/>
      <c r="H13" s="13"/>
      <c r="I13" s="13"/>
      <c r="J13" s="1"/>
      <c r="K13" s="1"/>
      <c r="L13" s="13"/>
      <c r="M13" s="1"/>
    </row>
    <row r="14" spans="1:13" x14ac:dyDescent="0.25">
      <c r="A14" s="13" t="s">
        <v>54</v>
      </c>
      <c r="B14" s="13"/>
      <c r="C14" s="13"/>
      <c r="D14" s="13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3" t="s">
        <v>55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8" spans="1:6" ht="15.75" thickBot="1" x14ac:dyDescent="0.3">
      <c r="E18" t="s">
        <v>0</v>
      </c>
      <c r="F18" s="29"/>
    </row>
    <row r="19" spans="1:6" ht="15.75" thickBot="1" x14ac:dyDescent="0.3">
      <c r="A19" s="12" t="s">
        <v>1</v>
      </c>
      <c r="B19" s="9" t="s">
        <v>5</v>
      </c>
      <c r="C19" s="11" t="s">
        <v>6</v>
      </c>
      <c r="D19" s="11" t="s">
        <v>7</v>
      </c>
    </row>
    <row r="20" spans="1:6" x14ac:dyDescent="0.25">
      <c r="A20" s="6">
        <v>1</v>
      </c>
      <c r="B20" s="7" t="s">
        <v>10</v>
      </c>
      <c r="C20" s="6">
        <v>1</v>
      </c>
      <c r="D20" s="31">
        <v>2550</v>
      </c>
    </row>
    <row r="21" spans="1:6" x14ac:dyDescent="0.25">
      <c r="A21" s="4">
        <v>2</v>
      </c>
      <c r="B21" s="5" t="s">
        <v>11</v>
      </c>
      <c r="C21" s="4">
        <v>1</v>
      </c>
      <c r="D21" s="30">
        <v>58.39</v>
      </c>
    </row>
    <row r="22" spans="1:6" x14ac:dyDescent="0.25">
      <c r="A22" s="4">
        <v>3</v>
      </c>
      <c r="B22" s="5" t="s">
        <v>12</v>
      </c>
      <c r="C22" s="4">
        <v>1</v>
      </c>
      <c r="D22" s="30">
        <v>6852</v>
      </c>
    </row>
    <row r="23" spans="1:6" x14ac:dyDescent="0.25">
      <c r="C23" s="14" t="s">
        <v>15</v>
      </c>
      <c r="D23" s="30">
        <f>D20+D21+D22</f>
        <v>9460.39</v>
      </c>
    </row>
    <row r="24" spans="1:6" x14ac:dyDescent="0.25">
      <c r="C24" s="14" t="s">
        <v>13</v>
      </c>
      <c r="D24" s="30">
        <f>D25-D23</f>
        <v>1986.6818999999996</v>
      </c>
    </row>
    <row r="25" spans="1:6" x14ac:dyDescent="0.25">
      <c r="C25" s="14" t="s">
        <v>14</v>
      </c>
      <c r="D25" s="30">
        <f>D23*1.21</f>
        <v>11447.071899999999</v>
      </c>
      <c r="E25" s="28">
        <f>D23*1.21</f>
        <v>11447.071899999999</v>
      </c>
    </row>
    <row r="27" spans="1:6" x14ac:dyDescent="0.25">
      <c r="A27" t="s">
        <v>45</v>
      </c>
    </row>
    <row r="28" spans="1:6" x14ac:dyDescent="0.25">
      <c r="A28" s="33" t="s">
        <v>56</v>
      </c>
    </row>
    <row r="29" spans="1:6" x14ac:dyDescent="0.25">
      <c r="A29" s="19" t="s">
        <v>27</v>
      </c>
    </row>
    <row r="30" spans="1:6" x14ac:dyDescent="0.25">
      <c r="A30" s="15"/>
    </row>
    <row r="32" spans="1:6" x14ac:dyDescent="0.25">
      <c r="B32" t="s">
        <v>16</v>
      </c>
      <c r="C32" t="s">
        <v>22</v>
      </c>
    </row>
    <row r="33" spans="2:3" x14ac:dyDescent="0.25">
      <c r="B33" s="16" t="s">
        <v>48</v>
      </c>
      <c r="C33" t="s">
        <v>49</v>
      </c>
    </row>
    <row r="34" spans="2:3" x14ac:dyDescent="0.25">
      <c r="B34" s="16" t="s">
        <v>44</v>
      </c>
      <c r="C34" s="16" t="s">
        <v>51</v>
      </c>
    </row>
    <row r="35" spans="2:3" x14ac:dyDescent="0.25">
      <c r="B35" t="s">
        <v>50</v>
      </c>
      <c r="C35" t="s">
        <v>50</v>
      </c>
    </row>
    <row r="49" spans="2:2" x14ac:dyDescent="0.25">
      <c r="B49" s="18"/>
    </row>
    <row r="51" spans="2:2" x14ac:dyDescent="0.25">
      <c r="B51" s="18"/>
    </row>
    <row r="52" spans="2:2" x14ac:dyDescent="0.25">
      <c r="B52" s="18"/>
    </row>
    <row r="53" spans="2:2" x14ac:dyDescent="0.25">
      <c r="B53" s="18"/>
    </row>
  </sheetData>
  <mergeCells count="1">
    <mergeCell ref="A6:D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I17"/>
  <sheetViews>
    <sheetView zoomScale="85" zoomScaleNormal="85" workbookViewId="0">
      <selection activeCell="H19" sqref="A1:H19"/>
    </sheetView>
  </sheetViews>
  <sheetFormatPr defaultRowHeight="15" x14ac:dyDescent="0.25"/>
  <cols>
    <col min="1" max="1" width="4.42578125" customWidth="1"/>
    <col min="2" max="2" width="14.42578125" customWidth="1"/>
    <col min="3" max="3" width="20.85546875" customWidth="1"/>
    <col min="4" max="4" width="7.42578125" customWidth="1"/>
    <col min="5" max="5" width="11.140625" customWidth="1"/>
    <col min="6" max="6" width="9.85546875" customWidth="1"/>
    <col min="7" max="7" width="11.5703125" customWidth="1"/>
    <col min="8" max="8" width="13.5703125" customWidth="1"/>
  </cols>
  <sheetData>
    <row r="9" spans="1:9" ht="15.75" x14ac:dyDescent="0.25">
      <c r="A9" s="36" t="s">
        <v>29</v>
      </c>
      <c r="B9" s="36"/>
      <c r="C9" s="36"/>
      <c r="D9" s="36"/>
      <c r="E9" s="36"/>
      <c r="F9" s="36"/>
      <c r="G9" s="36"/>
      <c r="H9" s="36"/>
      <c r="I9" s="26"/>
    </row>
    <row r="10" spans="1:9" ht="15.75" x14ac:dyDescent="0.25">
      <c r="A10" s="36" t="s">
        <v>38</v>
      </c>
      <c r="B10" s="36"/>
      <c r="C10" s="36"/>
      <c r="D10" s="36"/>
      <c r="E10" s="36"/>
      <c r="F10" s="36"/>
      <c r="G10" s="36"/>
      <c r="H10" s="36"/>
      <c r="I10" s="26"/>
    </row>
    <row r="11" spans="1:9" ht="15.75" x14ac:dyDescent="0.25">
      <c r="A11" s="36" t="s">
        <v>41</v>
      </c>
      <c r="B11" s="36"/>
      <c r="C11" s="36"/>
      <c r="D11" s="36"/>
      <c r="E11" s="36"/>
      <c r="F11" s="36"/>
      <c r="G11" s="36"/>
      <c r="H11" s="36"/>
      <c r="I11" s="26"/>
    </row>
    <row r="12" spans="1:9" ht="15.75" thickBot="1" x14ac:dyDescent="0.3"/>
    <row r="13" spans="1:9" ht="48" thickBot="1" x14ac:dyDescent="0.3">
      <c r="A13" s="25" t="s">
        <v>30</v>
      </c>
      <c r="B13" s="25" t="s">
        <v>31</v>
      </c>
      <c r="C13" s="25" t="s">
        <v>32</v>
      </c>
      <c r="D13" s="25" t="s">
        <v>33</v>
      </c>
      <c r="E13" s="25" t="s">
        <v>34</v>
      </c>
      <c r="F13" s="25" t="s">
        <v>35</v>
      </c>
      <c r="G13" s="25" t="s">
        <v>36</v>
      </c>
      <c r="H13" s="25" t="s">
        <v>37</v>
      </c>
      <c r="I13" s="20"/>
    </row>
    <row r="14" spans="1:9" ht="61.7" customHeight="1" x14ac:dyDescent="0.25">
      <c r="A14" s="23">
        <v>1</v>
      </c>
      <c r="B14" s="21" t="s">
        <v>43</v>
      </c>
      <c r="C14" s="24" t="s">
        <v>42</v>
      </c>
      <c r="D14" s="21"/>
      <c r="E14" s="22"/>
      <c r="F14" s="21">
        <v>4011.53</v>
      </c>
      <c r="G14" s="21">
        <v>4500651031</v>
      </c>
      <c r="H14" s="21"/>
    </row>
    <row r="17" spans="6:6" x14ac:dyDescent="0.25">
      <c r="F17" s="27" t="s">
        <v>40</v>
      </c>
    </row>
  </sheetData>
  <mergeCells count="3">
    <mergeCell ref="A11:H11"/>
    <mergeCell ref="A10:H10"/>
    <mergeCell ref="A9:H9"/>
  </mergeCells>
  <phoneticPr fontId="15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Situatie Plata Cd+Br</vt:lpstr>
      <vt:lpstr>Situatie Plata Br</vt:lpstr>
      <vt:lpstr>Centralizator Plata</vt:lpstr>
      <vt:lpstr>'Centralizator Plata'!Print_Area</vt:lpstr>
      <vt:lpstr>'Situatie Plata Br'!Print_Area</vt:lpstr>
      <vt:lpstr>'Situatie Plata Cd+Br'!Print_Area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andreiciubuc</dc:creator>
  <cp:lastModifiedBy>Daniela Laura Buruiană</cp:lastModifiedBy>
  <cp:lastPrinted>2026-05-07T19:00:06Z</cp:lastPrinted>
  <dcterms:created xsi:type="dcterms:W3CDTF">2018-11-09T07:13:14Z</dcterms:created>
  <dcterms:modified xsi:type="dcterms:W3CDTF">2026-05-07T20:45:26Z</dcterms:modified>
</cp:coreProperties>
</file>